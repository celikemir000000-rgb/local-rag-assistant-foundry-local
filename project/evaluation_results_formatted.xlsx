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e65a14c4d344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aluation Results" sheetId="1" r:id="R8aeace5e2ad34d1f"/>
    <x:sheet xmlns:r="http://schemas.openxmlformats.org/officeDocument/2006/relationships" name="Summary" sheetId="2" r:id="R263e07bb57da49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i/>
      <x:sz val="11"/>
      <x:color rgb="FF595959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3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</x:borders>
  <x:cellStyleXfs count="1">
    <x:xf numFmtId="0" fontId="0" fillId="0" borderId="0"/>
  </x:cellStyleXfs>
  <x:cellXfs count="9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 applyAlignment="1">
      <x:alignment horizontal="center" vertical="top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1" fillId="2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horizontal="center" vertical="top" wrapText="1"/>
    </x:xf>
    <x:xf numFmtId="0" fontId="0" fillId="0" borderId="6" xfId="0" applyNumberFormat="1" applyFont="1" applyFill="1" applyBorder="1" applyAlignment="1">
      <x:alignment horizontal="center" vertical="top" wrapText="1"/>
    </x:xf>
    <x:xf numFmtId="0" fontId="0" fillId="0" borderId="7" xfId="0" applyNumberFormat="1" applyFont="1" applyFill="1" applyBorder="1" applyAlignment="1">
      <x:alignment horizontal="center"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8" xfId="0" applyNumberFormat="1" applyFont="1" applyFill="1" applyBorder="1" applyAlignment="1">
      <x:alignment horizontal="center" vertical="top" wrapText="1"/>
    </x:xf>
    <x:xf numFmtId="0" fontId="0" fillId="0" borderId="9" xfId="0" applyNumberFormat="1" applyFont="1" applyFill="1" applyBorder="1" applyAlignment="1">
      <x:alignment horizontal="center" vertical="top" wrapText="1"/>
    </x:xf>
    <x:xf numFmtId="0" fontId="1" fillId="2" borderId="10" xfId="0" applyNumberFormat="1" applyFont="1" applyFill="1" applyBorder="1" applyAlignment="1">
      <x:alignment horizontal="center" vertical="top" wrapText="1"/>
    </x:xf>
    <x:xf numFmtId="0" fontId="1" fillId="2" borderId="11" xfId="0" applyNumberFormat="1" applyFont="1" applyFill="1" applyBorder="1" applyAlignment="1">
      <x:alignment horizontal="center" vertical="top" wrapText="1"/>
    </x:xf>
    <x:xf numFmtId="0" fontId="1" fillId="2" borderId="12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horizontal="center" vertical="top" wrapText="1"/>
    </x:xf>
    <x:xf numFmtId="0" fontId="0" fillId="0" borderId="14" xfId="0" applyNumberFormat="1" applyFont="1" applyFill="1" applyBorder="1" applyAlignment="1">
      <x:alignment horizontal="center" vertical="top" wrapText="1"/>
    </x:xf>
    <x:xf numFmtId="0" fontId="0" fillId="0" borderId="15" xfId="0" applyNumberFormat="1" applyFont="1" applyFill="1" applyBorder="1" applyAlignment="1">
      <x:alignment horizontal="center"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6" xfId="0" applyNumberFormat="1" applyFont="1" applyFill="1" applyBorder="1" applyAlignment="1">
      <x:alignment horizontal="center" vertical="top" wrapText="1"/>
    </x:xf>
    <x:xf numFmtId="0" fontId="0" fillId="0" borderId="17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8" xfId="0" applyNumberFormat="1" applyFont="1" applyFill="1" applyBorder="1" applyAlignment="1">
      <x:alignment horizontal="center"/>
    </x:xf>
    <x:xf numFmtId="0" fontId="3" fillId="3" borderId="19" xfId="0" applyNumberFormat="1" applyFont="1" applyFill="1" applyBorder="1" applyAlignment="1">
      <x:alignment horizontal="center"/>
    </x:xf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3" fillId="3" borderId="24" xfId="0" applyNumberFormat="1" applyFont="1" applyFill="1" applyBorder="1" applyAlignment="1">
      <x:alignment horizontal="center"/>
    </x:xf>
    <x:xf numFmtId="0" fontId="3" fillId="3" borderId="25" xfId="0" applyNumberFormat="1" applyFont="1" applyFill="1" applyBorder="1" applyAlignment="1">
      <x:alignment horizontal="center"/>
    </x:xf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201" fontId="0" fillId="0" borderId="21" xfId="0" applyNumberFormat="1" applyFont="1" applyFill="1" applyBorder="1"/>
    <x:xf numFmtId="201" fontId="0" fillId="0" borderId="27" xfId="0" applyNumberFormat="1" applyFont="1" applyFill="1" applyBorder="1"/>
    <x:xf numFmtId="200" fontId="0" fillId="0" borderId="23" xfId="0" applyNumberFormat="1" applyFont="1" applyFill="1" applyBorder="1"/>
    <x:xf numFmtId="200" fontId="0" fillId="0" borderId="29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548235"/>
      </x:font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c49a672c7f46b1" /><Relationship Type="http://schemas.openxmlformats.org/officeDocument/2006/relationships/theme" Target="/xl/theme/theme1.xml" Id="R8b5e73a13c334b92" /><Relationship Type="http://schemas.microsoft.com/office/2022/11/relationships/FeaturePropertyBag" Target="/xl/featurePropertyBag/featurePropertyBag.xml" Id="R41d543df664c45a4" /><Relationship Type="http://schemas.openxmlformats.org/officeDocument/2006/relationships/sharedStrings" Target="/xl/sharedStrings.xml" Id="Rf4bd2b81d3834207" /><Relationship Type="http://schemas.openxmlformats.org/officeDocument/2006/relationships/worksheet" Target="/xl/worksheets/sheet1.xml" Id="R8aeace5e2ad34d1f" /><Relationship Type="http://schemas.openxmlformats.org/officeDocument/2006/relationships/worksheet" Target="/xl/worksheets/sheet2.xml" Id="R263e07bb57da498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678d9bb1a534d28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Top-1 Score</c:v>
          </c:tx>
          <c:cat>
            <c:strRef>
              <c:f>'Evaluation Results'!$A$2:$A$16</c:f>
              <c:strCache>
                <c:ptCount val="0"/>
              </c:strCache>
            </c:strRef>
          </c:cat>
          <c:val>
            <c:numRef>
              <c:f>'Evaluation Results'!$F$2:$F$16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678d9bb1a534d28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valuationResultsTable" displayName="EvaluationResultsTable" ref="A1:I16" headerRowCount="1" totalsRowCount="0" totalsRowShown="0">
  <x:tableColumns count="9">
    <x:tableColumn id="1" name="ID"/>
    <x:tableColumn id="2" name="Question"/>
    <x:tableColumn id="3" name="Answerable"/>
    <x:tableColumn id="4" name="Expected Document"/>
    <x:tableColumn id="5" name="Top-1 Document"/>
    <x:tableColumn id="6" name="Top-1 Score"/>
    <x:tableColumn id="7" name="Answer"/>
    <x:tableColumn id="8" name="Cited Documents"/>
    <x:tableColumn id="9" name="Resul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d99504f341466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648961d786c4478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2" hidden="0" customWidth="1"/>
    <x:col min="3" max="3" width="12" hidden="0" customWidth="1"/>
    <x:col min="4" max="4" width="30" hidden="0" customWidth="1"/>
    <x:col min="5" max="5" width="30" hidden="0" customWidth="1"/>
    <x:col min="6" max="6" width="13" hidden="0" customWidth="1"/>
    <x:col min="7" max="7" width="70" hidden="0" customWidth="1"/>
    <x:col min="8" max="8" width="34" hidden="0" customWidth="1"/>
    <x:col min="9" max="9" width="11" hidden="0" customWidth="1"/>
  </x:cols>
  <x:sheetData>
    <x:row r="1">
      <x:c r="A1" s="34" t="str">
        <x:v>ID</x:v>
      </x:c>
      <x:c r="B1" s="35" t="str">
        <x:v>Question</x:v>
      </x:c>
      <x:c r="C1" s="35" t="str">
        <x:v>Answerable</x:v>
      </x:c>
      <x:c r="D1" s="35" t="str">
        <x:v>Expected Document</x:v>
      </x:c>
      <x:c r="E1" s="35" t="str">
        <x:v>Top-1 Document</x:v>
      </x:c>
      <x:c r="F1" s="35" t="str">
        <x:v>Top-1 Score</x:v>
      </x:c>
      <x:c r="G1" s="35" t="str">
        <x:v>Answer</x:v>
      </x:c>
      <x:c r="H1" s="35" t="str">
        <x:v>Cited Documents</x:v>
      </x:c>
      <x:c r="I1" s="36" t="str">
        <x:v>Result</x:v>
      </x:c>
    </x:row>
    <x:row r="2">
      <x:c r="A2" s="37" t="n">
        <x:v>1</x:v>
      </x:c>
      <x:c r="B2" s="21" t="str">
        <x:v>What is Retrieval-Augmented Generation?</x:v>
      </x:c>
      <x:c r="C2" s="28" t="str">
        <x:v>Yes</x:v>
      </x:c>
      <x:c r="D2" s="21" t="str">
        <x:v>01_rag_fundamentals.pdf</x:v>
      </x:c>
      <x:c r="E2" s="21" t="str">
        <x:v>01_rag_fundamentals.pdf</x:v>
      </x:c>
      <x:c r="F2" s="32" t="n">
        <x:v>0.7767</x:v>
      </x:c>
      <x:c r="G2" s="21" t="str">
        <x:v>Retrieval-Augmented Generation (RAG) is an approach that allows a language model to retrieve relevant information from an external knowledge source before generating an answer. [Source 1] This method ensures the model uses the most relevant passages for the current question. [Source 1]</x:v>
      </x:c>
      <x:c r="H2" s="21" t="str">
        <x:v>01_rag_fundamentals.pdf</x:v>
      </x:c>
      <x:c r="I2" s="38" t="str">
        <x:v>PASS</x:v>
      </x:c>
    </x:row>
    <x:row r="3">
      <x:c r="A3" s="37" t="n">
        <x:v>2</x:v>
      </x:c>
      <x:c r="B3" s="21" t="str">
        <x:v>What happens after a user asks a question in a basic RAG pipeline?</x:v>
      </x:c>
      <x:c r="C3" s="28" t="str">
        <x:v>Yes</x:v>
      </x:c>
      <x:c r="D3" s="21" t="str">
        <x:v>01_rag_fundamentals.pdf</x:v>
      </x:c>
      <x:c r="E3" s="21" t="str">
        <x:v>01_rag_fundamentals.pdf</x:v>
      </x:c>
      <x:c r="F3" s="32" t="n">
        <x:v>0.8151</x:v>
      </x:c>
      <x:c r="G3" s="21" t="str">
        <x:v>The system creates an embedding for the user's question [Source 1]. It then compares this embedding with stored document embeddings to find the most relevant chunks [Source 1]. These relevant chunks are passed to the language model along with the user's question [Source 1].</x:v>
      </x:c>
      <x:c r="H3" s="21" t="str">
        <x:v>01_rag_fundamentals.pdf</x:v>
      </x:c>
      <x:c r="I3" s="38" t="str">
        <x:v>PASS</x:v>
      </x:c>
    </x:row>
    <x:row r="4">
      <x:c r="A4" s="37" t="n">
        <x:v>3</x:v>
      </x:c>
      <x:c r="B4" s="21" t="str">
        <x:v>What is an embedding?</x:v>
      </x:c>
      <x:c r="C4" s="28" t="str">
        <x:v>Yes</x:v>
      </x:c>
      <x:c r="D4" s="21" t="str">
        <x:v>02_embeddings_and_similarity.pdf</x:v>
      </x:c>
      <x:c r="E4" s="21" t="str">
        <x:v>02_embeddings_and_similarity.pdf</x:v>
      </x:c>
      <x:c r="F4" s="32" t="n">
        <x:v>0.6347</x:v>
      </x:c>
      <x:c r="G4" s="21" t="str">
        <x:v>An embedding represents a word, sentence, or longer passage as a vector of numbers [Source 1]. These vectors capture semantic relationships, placing similar texts near each other in the embedding space [Source 1]. The embedding process converts text into numerical representations that can be used for similarity calculations [Source 1].</x:v>
      </x:c>
      <x:c r="H4" s="21" t="str">
        <x:v>02_embeddings_and_similarity.pdf</x:v>
      </x:c>
      <x:c r="I4" s="38" t="str">
        <x:v>PASS</x:v>
      </x:c>
    </x:row>
    <x:row r="5">
      <x:c r="A5" s="37" t="n">
        <x:v>4</x:v>
      </x:c>
      <x:c r="B5" s="21" t="str">
        <x:v>Is cosine similarity a percentage of correctness?</x:v>
      </x:c>
      <x:c r="C5" s="28" t="str">
        <x:v>Yes</x:v>
      </x:c>
      <x:c r="D5" s="21" t="str">
        <x:v>02_embeddings_and_similarity.pdf</x:v>
      </x:c>
      <x:c r="E5" s="21" t="str">
        <x:v>02_embeddings_and_similarity.pdf</x:v>
      </x:c>
      <x:c r="F5" s="32" t="n">
        <x:v>0.6996</x:v>
      </x:c>
      <x:c r="G5" s="21" t="str">
        <x:v>No, cosine similarity is not a percentage of correctness. The score indicates semantic similarity, not correctness. [Source 1]</x:v>
      </x:c>
      <x:c r="H5" s="21" t="str">
        <x:v>02_embeddings_and_similarity.pdf</x:v>
      </x:c>
      <x:c r="I5" s="38" t="str">
        <x:v>PASS</x:v>
      </x:c>
    </x:row>
    <x:row r="6">
      <x:c r="A6" s="37" t="n">
        <x:v>5</x:v>
      </x:c>
      <x:c r="B6" s="21" t="str">
        <x:v>Why is SQLite suitable for a small local RAG project?</x:v>
      </x:c>
      <x:c r="C6" s="28" t="str">
        <x:v>Yes</x:v>
      </x:c>
      <x:c r="D6" s="21" t="str">
        <x:v>03_sqlite_for_rag.pdf</x:v>
      </x:c>
      <x:c r="E6" s="21" t="str">
        <x:v>03_sqlite_for_rag.pdf</x:v>
      </x:c>
      <x:c r="F6" s="32" t="n">
        <x:v>0.896</x:v>
      </x:c>
      <x:c r="G6" s="21" t="str">
        <x:v>SQLite is suitable for a small local RAG project because it can store all database content in a single local file [Source 1]. It is also simple to use and can handle embedding vectors as JSON text [Source 2]. This makes SQLite a practical choice for small RAG projects [Source 1].</x:v>
      </x:c>
      <x:c r="H6" s="21" t="str">
        <x:v>03_sqlite_for_rag.pdf</x:v>
      </x:c>
      <x:c r="I6" s="38" t="str">
        <x:v>PASS</x:v>
      </x:c>
    </x:row>
    <x:row r="7">
      <x:c r="A7" s="37" t="n">
        <x:v>6</x:v>
      </x:c>
      <x:c r="B7" s="21" t="str">
        <x:v>How can embedding vectors be stored in SQLite for a small project?</x:v>
      </x:c>
      <x:c r="C7" s="28" t="str">
        <x:v>Yes</x:v>
      </x:c>
      <x:c r="D7" s="21" t="str">
        <x:v>03_sqlite_for_rag.pdf</x:v>
      </x:c>
      <x:c r="E7" s="21" t="str">
        <x:v>03_sqlite_for_rag.pdf</x:v>
      </x:c>
      <x:c r="F7" s="32" t="n">
        <x:v>0.8115</x:v>
      </x:c>
      <x:c r="G7" s="21" t="str">
        <x:v>Embedding vectors can be stored in SQLite as JSON text for a small project [Source 1]. This approach is simple and suitable for small knowledge bases [Source 1]. When a query arrives, the application can load the vectors into Python and calculate cosine similarity there [Source 1].</x:v>
      </x:c>
      <x:c r="H7" s="21" t="str">
        <x:v>03_sqlite_for_rag.pdf</x:v>
      </x:c>
      <x:c r="I7" s="38" t="str">
        <x:v>PASS</x:v>
      </x:c>
    </x:row>
    <x:row r="8">
      <x:c r="A8" s="37" t="n">
        <x:v>7</x:v>
      </x:c>
      <x:c r="B8" s="21" t="str">
        <x:v>What is chunk overlap?</x:v>
      </x:c>
      <x:c r="C8" s="28" t="str">
        <x:v>Yes</x:v>
      </x:c>
      <x:c r="D8" s="21" t="str">
        <x:v>04_chunking_and_overlap.pdf</x:v>
      </x:c>
      <x:c r="E8" s="21" t="str">
        <x:v>04_chunking_and_overlap.pdf</x:v>
      </x:c>
      <x:c r="F8" s="32" t="n">
        <x:v>0.8058</x:v>
      </x:c>
      <x:c r="G8" s="21" t="str">
        <x:v>Chunk overlap is the practice of sharing a small amount of text between neighboring chunks. This helps preserve context near the boundary [Source 1]. Overlap is used to avoid splitting important sentences or ideas between two chunks [Source 1].</x:v>
      </x:c>
      <x:c r="H8" s="21" t="str">
        <x:v>04_chunking_and_overlap.pdf</x:v>
      </x:c>
      <x:c r="I8" s="38" t="str">
        <x:v>PASS</x:v>
      </x:c>
    </x:row>
    <x:row r="9">
      <x:c r="A9" s="37" t="n">
        <x:v>8</x:v>
      </x:c>
      <x:c r="B9" s="21" t="str">
        <x:v>Why can chunk overlap be useful?</x:v>
      </x:c>
      <x:c r="C9" s="28" t="str">
        <x:v>Yes</x:v>
      </x:c>
      <x:c r="D9" s="21" t="str">
        <x:v>04_chunking_and_overlap.pdf</x:v>
      </x:c>
      <x:c r="E9" s="21" t="str">
        <x:v>04_chunking_and_overlap.pdf</x:v>
      </x:c>
      <x:c r="F9" s="32" t="n">
        <x:v>0.805</x:v>
      </x:c>
      <x:c r="G9" s="21" t="str">
        <x:v>Chunk overlap helps preserve context near chunk boundaries [Source 1]. This is because overlapping text ensures that important ideas are not split between chunks [Source 1]. Overlap also helps maintain coherence in retrieval results [Source 1].</x:v>
      </x:c>
      <x:c r="H9" s="21" t="str">
        <x:v>04_chunking_and_overlap.pdf</x:v>
      </x:c>
      <x:c r="I9" s="38" t="str">
        <x:v>PASS</x:v>
      </x:c>
    </x:row>
    <x:row r="10">
      <x:c r="A10" s="37" t="n">
        <x:v>9</x:v>
      </x:c>
      <x:c r="B10" s="21" t="str">
        <x:v>What does grounding mean in a RAG system?</x:v>
      </x:c>
      <x:c r="C10" s="28" t="str">
        <x:v>Yes</x:v>
      </x:c>
      <x:c r="D10" s="21" t="str">
        <x:v>05_grounding_and_fallback.pdf</x:v>
      </x:c>
      <x:c r="E10" s="21" t="str">
        <x:v>06_local_offline_rag.pdf</x:v>
      </x:c>
      <x:c r="F10" s="32" t="n">
        <x:v>0.6713</x:v>
      </x:c>
      <x:c r="G10" s="21" t="str">
        <x:v>In a RAG system, grounding means the language model bases its response on the passages retrieved from the document collection [Source 3]. This ensures the answer is supported by the provided sources. Grounding helps limit answers to information that can be traced back to the local knowledge base [Source 3].</x:v>
      </x:c>
      <x:c r="H10" s="21" t="str">
        <x:v>05_grounding_and_fallback.pdf</x:v>
      </x:c>
      <x:c r="I10" s="38" t="str">
        <x:v>PASS</x:v>
      </x:c>
    </x:row>
    <x:row r="11">
      <x:c r="A11" s="37" t="n">
        <x:v>10</x:v>
      </x:c>
      <x:c r="B11" s="21" t="str">
        <x:v>What should the assistant do when the retrieved sources do not contain enough information?</x:v>
      </x:c>
      <x:c r="C11" s="28" t="str">
        <x:v>Yes</x:v>
      </x:c>
      <x:c r="D11" s="21" t="str">
        <x:v>05_grounding_and_fallback.pdf</x:v>
      </x:c>
      <x:c r="E11" s="21" t="str">
        <x:v>05_grounding_and_fallback.pdf</x:v>
      </x:c>
      <x:c r="F11" s="32" t="n">
        <x:v>0.6637</x:v>
      </x:c>
      <x:c r="G11" s="21" t="str">
        <x:v>The assistant should not guess and instead provide a clear message such as: The information is not available in the provided sources. [Source 1]</x:v>
      </x:c>
      <x:c r="H11" s="21" t="str">
        <x:v>05_grounding_and_fallback.pdf</x:v>
      </x:c>
      <x:c r="I11" s="38" t="str">
        <x:v>PASS</x:v>
      </x:c>
    </x:row>
    <x:row r="12">
      <x:c r="A12" s="37" t="n">
        <x:v>11</x:v>
      </x:c>
      <x:c r="B12" s="21" t="str">
        <x:v>What is an advantage of running a RAG system locally and offline?</x:v>
      </x:c>
      <x:c r="C12" s="28" t="str">
        <x:v>Yes</x:v>
      </x:c>
      <x:c r="D12" s="21" t="str">
        <x:v>06_local_offline_rag.pdf</x:v>
      </x:c>
      <x:c r="E12" s="21" t="str">
        <x:v>06_local_offline_rag.pdf</x:v>
      </x:c>
      <x:c r="F12" s="32" t="n">
        <x:v>0.914</x:v>
      </x:c>
      <x:c r="G12" s="21" t="str">
        <x:v>An advantage of running a RAG system locally and offline is improved privacy, as documents and model inference remain on the local machine [Source 1]. This setup also allows for offline operation without needing an internet connection [Source 2].</x:v>
      </x:c>
      <x:c r="H12" s="21" t="str">
        <x:v>06_local_offline_rag.pdf | 01_rag_fundamentals.pdf</x:v>
      </x:c>
      <x:c r="I12" s="38" t="str">
        <x:v>PASS</x:v>
      </x:c>
    </x:row>
    <x:row r="13">
      <x:c r="A13" s="37" t="n">
        <x:v>12</x:v>
      </x:c>
      <x:c r="B13" s="21" t="str">
        <x:v>Why can a local RAG system improve privacy?</x:v>
      </x:c>
      <x:c r="C13" s="28" t="str">
        <x:v>Yes</x:v>
      </x:c>
      <x:c r="D13" s="21" t="str">
        <x:v>06_local_offline_rag.pdf</x:v>
      </x:c>
      <x:c r="E13" s="21" t="str">
        <x:v>06_local_offline_rag.pdf</x:v>
      </x:c>
      <x:c r="F13" s="32" t="n">
        <x:v>0.8245</x:v>
      </x:c>
      <x:c r="G13" s="21" t="str">
        <x:v>A local RAG system improves privacy because documents and model inference remain on the user's computer [Source 2]. This prevents source files from needing to leave the device during normal use [Source 2]. Keeping sensitive data local also reduces the risk of data exposure through cloud services [Source 1].</x:v>
      </x:c>
      <x:c r="H13" s="21" t="str">
        <x:v>06_local_offline_rag.pdf</x:v>
      </x:c>
      <x:c r="I13" s="38" t="str">
        <x:v>PASS</x:v>
      </x:c>
    </x:row>
    <x:row r="14">
      <x:c r="A14" s="37" t="n">
        <x:v>13</x:v>
      </x:c>
      <x:c r="B14" s="21" t="str">
        <x:v>What is the capital of Japan?</x:v>
      </x:c>
      <x:c r="C14" s="28" t="str">
        <x:v>No</x:v>
      </x:c>
      <x:c r="D14" s="21" t="str">
        <x:v>No valid local source</x:v>
      </x:c>
      <x:c r="E14" s="21" t="str">
        <x:v>05_grounding_and_fallback.pdf</x:v>
      </x:c>
      <x:c r="F14" s="32" t="n">
        <x:v>0.2216</x:v>
      </x:c>
      <x:c r="G14" s="21" t="str">
        <x:v>The information is not available in the provided sources.</x:v>
      </x:c>
      <x:c r="H14" s="21" t="str">
        <x:v>None</x:v>
      </x:c>
      <x:c r="I14" s="38" t="str">
        <x:v>PASS</x:v>
      </x:c>
    </x:row>
    <x:row r="15">
      <x:c r="A15" s="37" t="n">
        <x:v>14</x:v>
      </x:c>
      <x:c r="B15" s="21" t="str">
        <x:v>Who invented the telephone?</x:v>
      </x:c>
      <x:c r="C15" s="28" t="str">
        <x:v>No</x:v>
      </x:c>
      <x:c r="D15" s="21" t="str">
        <x:v>No valid local source</x:v>
      </x:c>
      <x:c r="E15" s="21" t="str">
        <x:v>05_grounding_and_fallback.pdf</x:v>
      </x:c>
      <x:c r="F15" s="32" t="n">
        <x:v>0.208</x:v>
      </x:c>
      <x:c r="G15" s="21" t="str">
        <x:v>The information is not available in the provided sources.</x:v>
      </x:c>
      <x:c r="H15" s="21" t="str">
        <x:v>None</x:v>
      </x:c>
      <x:c r="I15" s="38" t="str">
        <x:v>PASS</x:v>
      </x:c>
    </x:row>
    <x:row r="16">
      <x:c r="A16" s="39" t="n">
        <x:v>15</x:v>
      </x:c>
      <x:c r="B16" s="40" t="str">
        <x:v>How many moons does Mars have?</x:v>
      </x:c>
      <x:c r="C16" s="86" t="str">
        <x:v>No</x:v>
      </x:c>
      <x:c r="D16" s="40" t="str">
        <x:v>No valid local source</x:v>
      </x:c>
      <x:c r="E16" s="40" t="str">
        <x:v>05_grounding_and_fallback.pdf</x:v>
      </x:c>
      <x:c r="F16" s="42" t="n">
        <x:v>0.2619</x:v>
      </x:c>
      <x:c r="G16" s="40" t="str">
        <x:v>The information is not available in the provided sources.</x:v>
      </x:c>
      <x:c r="H16" s="40" t="str">
        <x:v>None</x:v>
      </x:c>
      <x:c r="I16" s="43" t="str">
        <x:v>PASS</x:v>
      </x:c>
    </x:row>
  </x:sheetData>
  <x:conditionalFormatting sqref="I2:I16">
    <x:cfRule type="expression" dxfId="0" priority="1">
      <x:formula>I2="PASS"</x:formula>
    </x:cfRule>
  </x:conditionalFormatting>
  <x:conditionalFormatting sqref="F2:F16">
    <x:cfRule type="colorScale" priority="3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C2:C16">
    <x:cfRule type="expression" dxfId="2" priority="4">
      <x:formula>C2="No"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8d99504f341466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</x:cols>
  <x:sheetData>
    <x:row r="1">
      <x:c r="A1" s="56" t="str">
        <x:v>Local RAG Evaluation Summary</x:v>
      </x:c>
      <x:c r="B1" s="56"/>
      <x:c r="C1" s="56"/>
      <x:c r="D1" s="56"/>
    </x:row>
    <x:row r="3">
      <x:c r="A3" s="66" t="str">
        <x:v>Metric</x:v>
      </x:c>
      <x:c r="B3" s="67" t="str">
        <x:v>Value</x:v>
      </x:c>
    </x:row>
    <x:row r="4">
      <x:c r="A4" s="68" t="str">
        <x:v>Total questions</x:v>
      </x:c>
      <x:c r="B4" s="69" t="n">
        <x:f>COUNTA('Evaluation Results'!A2:A16)</x:f>
        <x:v>15</x:v>
      </x:c>
    </x:row>
    <x:row r="5">
      <x:c r="A5" s="68" t="str">
        <x:v>Answerable questions</x:v>
      </x:c>
      <x:c r="B5" s="69" t="n">
        <x:f>COUNTIF('Evaluation Results'!C2:C16,"Yes")</x:f>
        <x:v>12</x:v>
      </x:c>
    </x:row>
    <x:row r="6">
      <x:c r="A6" s="68" t="str">
        <x:v>Unanswerable questions</x:v>
      </x:c>
      <x:c r="B6" s="69" t="n">
        <x:f>COUNTIF('Evaluation Results'!C2:C16,"No")</x:f>
        <x:v>3</x:v>
      </x:c>
    </x:row>
    <x:row r="7">
      <x:c r="A7" s="68" t="str">
        <x:v>Passed</x:v>
      </x:c>
      <x:c r="B7" s="69" t="n">
        <x:f>COUNTIF('Evaluation Results'!I2:I16,"PASS")</x:f>
        <x:v>15</x:v>
      </x:c>
    </x:row>
    <x:row r="8">
      <x:c r="A8" s="68" t="str">
        <x:v>Overall success rate</x:v>
      </x:c>
      <x:c r="B8" s="78" t="n">
        <x:f>B7/B4</x:f>
        <x:v>1</x:v>
      </x:c>
    </x:row>
    <x:row r="9">
      <x:c r="A9" s="70" t="str">
        <x:v>Average Top-1 score (answerable)</x:v>
      </x:c>
      <x:c r="B9" s="80" t="n">
        <x:f>SUMIF('Evaluation Results'!C2:C16,"Yes",'Evaluation Results'!F2:F16)/B5</x:f>
        <x:v>0.7764916666666667</x:v>
      </x:c>
    </x:row>
    <x:row r="11">
      <x:c r="A11" s="66" t="str">
        <x:v>Project Metric</x:v>
      </x:c>
      <x:c r="B11" s="67" t="str">
        <x:v>Result</x:v>
      </x:c>
    </x:row>
    <x:row r="12">
      <x:c r="A12" s="68" t="str">
        <x:v>Retrieval Top-1 accuracy</x:v>
      </x:c>
      <x:c r="B12" s="69" t="str">
        <x:v>91.7% (11/12)</x:v>
      </x:c>
    </x:row>
    <x:row r="13">
      <x:c r="A13" s="68" t="str">
        <x:v>Retrieval Top-3 accuracy</x:v>
      </x:c>
      <x:c r="B13" s="69" t="str">
        <x:v>100% (12/12)</x:v>
      </x:c>
    </x:row>
    <x:row r="14">
      <x:c r="A14" s="68" t="str">
        <x:v>Answerable end-to-end</x:v>
      </x:c>
      <x:c r="B14" s="69" t="str">
        <x:v>100% (12/12)</x:v>
      </x:c>
    </x:row>
    <x:row r="15">
      <x:c r="A15" s="68" t="str">
        <x:v>Fallback success</x:v>
      </x:c>
      <x:c r="B15" s="69" t="str">
        <x:v>100% (3/3)</x:v>
      </x:c>
    </x:row>
    <x:row r="16">
      <x:c r="A16" s="70" t="str">
        <x:v>Minimum retrieval score</x:v>
      </x:c>
      <x:c r="B16" s="71" t="n">
        <x:v>0.35</x:v>
      </x:c>
    </x:row>
    <x:row r="18">
      <x:c r="A18" s="85" t="str">
        <x:v>Note: The 15/15 result refers only to the prepared project-specific evaluation set. It should not be interpreted as universal model accuracy.</x:v>
      </x:c>
      <x:c r="B18" s="85"/>
      <x:c r="C18" s="85"/>
      <x:c r="D18" s="85"/>
    </x:row>
    <x:row r="19">
      <x:c r="A19" s="85"/>
      <x:c r="B19" s="85"/>
      <x:c r="C19" s="85"/>
      <x:c r="D19" s="85"/>
    </x:row>
    <x:row r="20">
      <x:c r="A20" s="85"/>
      <x:c r="B20" s="85"/>
      <x:c r="C20" s="85"/>
      <x:c r="D20" s="85"/>
    </x:row>
    <x:row r="21">
      <x:c r="A21" s="85"/>
      <x:c r="B21" s="85"/>
      <x:c r="C21" s="85"/>
      <x:c r="D21" s="85"/>
    </x:row>
  </x:sheetData>
  <x:mergeCells>
    <x:mergeCell ref="A1:D1"/>
    <x:mergeCell ref="A18:D21"/>
  </x:mergeCells>
  <x:pageMargins left="0.7" right="0.7" top="0.75" bottom="0.75" header="0.3" footer="0.3"/>
  <x:drawing xmlns:r="http://schemas.openxmlformats.org/officeDocument/2006/relationships" r:id="R7648961d786c4478"/>
</x:worksheet>
</file>